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<sst xmlns="http://schemas.openxmlformats.org/spreadsheetml/2006/main" count="64" uniqueCount="46">
  <si>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DANH SÁCH NHÀ ĐẤT</t>
  </si>
  <si>
    <t>Column1</t>
  </si>
  <si>
    <t>Column2</t>
  </si>
  <si>
    <t>Tên BĐS</t>
  </si>
  <si>
    <t>Loại BĐS</t>
  </si>
  <si>
    <t>Giá bán (VND)</t>
  </si>
  <si>
    <t>Mã MG</t>
  </si>
  <si>
    <t>Mô giới</t>
  </si>
  <si>
    <t>Tỷ lệ hoa hồng</t>
  </si>
  <si>
    <t>Hoa hồng (VND)</t>
  </si>
  <si>
    <t>SH001</t>
  </si>
  <si>
    <t>Villa Riverside</t>
  </si>
  <si>
    <t>Biệt thự</t>
  </si>
  <si>
    <t>15.000.000.000</t>
  </si>
  <si>
    <t>MG01</t>
  </si>
  <si>
    <t>Nguyễn An</t>
  </si>
  <si>
    <t>300.000.000</t>
  </si>
  <si>
    <t>SH002</t>
  </si>
  <si>
    <t>Sunrise Apartment</t>
  </si>
  <si>
    <t>Căn hộ</t>
  </si>
  <si>
    <t>3.200.000.000</t>
  </si>
  <si>
    <t>MG02</t>
  </si>
  <si>
    <t>Trần Minh</t>
  </si>
  <si>
    <t>48.000.000</t>
  </si>
  <si>
    <t>SH003</t>
  </si>
  <si>
    <t>Green Park House</t>
  </si>
  <si>
    <t>Nhà phố</t>
  </si>
  <si>
    <t>6.800.000.000</t>
  </si>
  <si>
    <t>MG03</t>
  </si>
  <si>
    <t>Lê Hằng</t>
  </si>
  <si>
    <t>122.400.000</t>
  </si>
  <si>
    <t>SH004</t>
  </si>
  <si>
    <t>Skyline Apartment</t>
  </si>
  <si>
    <t>2.650.000.000</t>
  </si>
  <si>
    <t>39.750.000</t>
  </si>
  <si>
    <t>SH005</t>
  </si>
  <si>
    <t>Ocean View Villa</t>
  </si>
  <si>
    <t>18.500.000.000</t>
  </si>
  <si>
    <t>370.000.000</t>
  </si>
  <si>
    <t>SH006</t>
  </si>
  <si>
    <t>Central House</t>
  </si>
  <si>
    <t>5.200.000.000</t>
  </si>
  <si>
    <t>MG04</t>
  </si>
  <si>
    <t>Phạm Nam</t>
  </si>
  <si>
    <t>83.200.000</t>
  </si>
  <si>
    <t>BẢNG TRA CỨU MÔ GIỚI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</si>
</sst>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29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0" fontId="1" fillId="0" borderId="0" xfId="0" applyNumberFormat="1" applyFont="1" applyFill="1" applyAlignment="1">
      <alignment horizontal="center"/>
    </xf>
    <xf numFmtId="0" fontId="3" fillId="3" borderId="0" xfId="23" applyFont="1" applyFill="1" applyAlignment="1">
      <alignment horizontal="center"/>
    </xf>
    <xf numFmtId="0" fontId="4" fillId="3" borderId="0" xfId="23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9" displayName="Table9" ref="A3:I9" totalsRowShown="0">
  <autoFilter xmlns:etc="http://www.wps.cn/officeDocument/2017/etCustomData" ref="A3:I9" etc:filterBottomFollowUsedRange="0"/>
  <tableColumns count="9">
    <tableColumn id="1" name="Column1"/>
    <tableColumn id="2" name="Column2"/>
    <tableColumn id="3" name="Tên BĐS"/>
    <tableColumn id="4" name="Loại BĐS"/>
    <tableColumn id="5" name="Giá bán (VND)"/>
    <tableColumn id="6" name="Mã MG"/>
    <tableColumn id="7" name="Mô giới"/>
    <tableColumn id="8" name="Tỷ lệ hoa hồng"/>
    <tableColumn id="9" name="Hoa hồng (VND)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e10" displayName="Table10" ref="A14:C18" totalsRowShown="0">
  <autoFilter xmlns:etc="http://www.wps.cn/officeDocument/2017/etCustomData" ref="A14:C18" etc:filterBottomFollowUsedRange="0"/>
  <tableColumns count="3">
    <tableColumn id="1" name="Mã MG"/>
    <tableColumn id="2" name="Mô giới"/>
    <tableColumn id="3" name="Tỷ lệ hoa hồng" dataDxfId="0">
      <calculatedColumnFormula>VLOOKUP(B15,$G$4:$I$9,2,FALSE)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F10" sqref="F10"/>
    </sheetView>
  </sheetViews>
  <sheetFormatPr defaultColWidth="9" defaultRowHeight="14.5"/>
  <cols>
    <col min="1" max="1" width="11" style="1" customWidth="1"/>
    <col min="2" max="2" width="12.8545454545455" style="1" customWidth="1"/>
    <col min="3" max="3" width="18.7090909090909" style="1" customWidth="1"/>
    <col min="4" max="5" width="18.2818181818182" style="1" customWidth="1"/>
    <col min="6" max="6" width="18.4272727272727" style="1" customWidth="1"/>
    <col min="7" max="8" width="18" style="1" customWidth="1"/>
    <col min="9" max="9" width="18.1363636363636" style="1" customWidth="1"/>
    <col min="10" max="16384" width="9" style="1"/>
  </cols>
  <sheetData>
    <row r="1" s="1" customFormat="1" spans="1:10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spans="1:10">
      <c r="A2" s="2"/>
      <c r="B2" s="2"/>
      <c r="C2" s="2"/>
      <c r="D2" s="2"/>
      <c r="E2" s="2"/>
      <c r="F2" s="2"/>
      <c r="G2" s="2"/>
      <c r="H2" s="2"/>
      <c r="I2" s="2"/>
    </row>
    <row r="3" s="1" customForma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/>
    </row>
    <row r="4" s="1" customFormat="1" spans="1:10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0.02</v>
      </c>
      <c r="I4" s="3" t="s">
        <v>16</v>
      </c>
      <c r="J4" s="3"/>
    </row>
    <row r="5" s="1" customFormat="1" spans="1:10">
      <c r="A5" s="3">
        <v>2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4">
        <v>0.015</v>
      </c>
      <c r="I5" s="3" t="s">
        <v>23</v>
      </c>
      <c r="J5" s="3"/>
    </row>
    <row r="6" s="1" customFormat="1" spans="1:10">
      <c r="A6" s="3">
        <v>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4">
        <v>0.018</v>
      </c>
      <c r="I6" s="3" t="s">
        <v>30</v>
      </c>
      <c r="J6" s="3"/>
    </row>
    <row r="7" s="1" customFormat="1" spans="1:10">
      <c r="A7" s="3">
        <v>4</v>
      </c>
      <c r="B7" s="3" t="s">
        <v>31</v>
      </c>
      <c r="C7" s="3" t="s">
        <v>32</v>
      </c>
      <c r="D7" s="3" t="s">
        <v>19</v>
      </c>
      <c r="E7" s="3" t="s">
        <v>33</v>
      </c>
      <c r="F7" s="3" t="s">
        <v>21</v>
      </c>
      <c r="G7" s="3" t="s">
        <v>22</v>
      </c>
      <c r="H7" s="4">
        <v>0.015</v>
      </c>
      <c r="I7" s="3" t="s">
        <v>34</v>
      </c>
      <c r="J7" s="3"/>
    </row>
    <row r="8" s="1" customFormat="1" spans="1:10">
      <c r="A8" s="3">
        <v>5</v>
      </c>
      <c r="B8" s="3" t="s">
        <v>35</v>
      </c>
      <c r="C8" s="3" t="s">
        <v>36</v>
      </c>
      <c r="D8" s="3" t="s">
        <v>12</v>
      </c>
      <c r="E8" s="3" t="s">
        <v>37</v>
      </c>
      <c r="F8" s="3" t="s">
        <v>14</v>
      </c>
      <c r="G8" s="3" t="s">
        <v>15</v>
      </c>
      <c r="H8" s="4">
        <v>0.02</v>
      </c>
      <c r="I8" s="3" t="s">
        <v>38</v>
      </c>
      <c r="J8" s="3"/>
    </row>
    <row r="9" s="1" customFormat="1" spans="1:10">
      <c r="A9" s="3">
        <v>6</v>
      </c>
      <c r="B9" s="3" t="s">
        <v>39</v>
      </c>
      <c r="C9" s="3" t="s">
        <v>40</v>
      </c>
      <c r="D9" s="3" t="s">
        <v>26</v>
      </c>
      <c r="E9" s="3" t="s">
        <v>41</v>
      </c>
      <c r="F9" s="3" t="s">
        <v>42</v>
      </c>
      <c r="G9" s="3" t="s">
        <v>43</v>
      </c>
      <c r="H9" s="4">
        <v>0.016</v>
      </c>
      <c r="I9" s="3" t="s">
        <v>44</v>
      </c>
      <c r="J9" s="3"/>
    </row>
    <row r="12" s="1" customFormat="1" spans="1:10">
      <c r="A12" s="5" t="s">
        <v>45</v>
      </c>
      <c r="B12" s="6"/>
      <c r="C12" s="6"/>
    </row>
    <row r="13" s="1" customFormat="1" spans="1:10">
      <c r="A13" s="6"/>
      <c r="B13" s="6"/>
      <c r="C13" s="6"/>
    </row>
    <row r="14" s="1" customFormat="1" spans="1:10">
      <c r="A14" s="3" t="s">
        <v>6</v>
      </c>
      <c r="B14" s="3" t="s">
        <v>7</v>
      </c>
      <c r="C14" s="3" t="s">
        <v>8</v>
      </c>
    </row>
    <row r="15" s="1" customFormat="1" spans="1:10">
      <c r="A15" s="3" t="s">
        <v>14</v>
      </c>
      <c r="B15" s="3" t="s">
        <v>15</v>
      </c>
      <c r="C15" s="7">
        <f>VLOOKUP(B15,$G$4:$I$9,2,FALSE)</f>
        <v>0.02</v>
      </c>
    </row>
    <row r="16" s="1" customFormat="1" spans="1:10">
      <c r="A16" s="3" t="s">
        <v>21</v>
      </c>
      <c r="B16" s="3" t="s">
        <v>22</v>
      </c>
      <c r="C16" s="7">
        <f>VLOOKUP(B16,$G$4:$I$9,2,FALSE)</f>
        <v>0.015</v>
      </c>
    </row>
    <row r="17" s="1" customFormat="1" spans="1:3">
      <c r="A17" s="3" t="s">
        <v>28</v>
      </c>
      <c r="B17" s="3" t="s">
        <v>29</v>
      </c>
      <c r="C17" s="7">
        <f>VLOOKUP(B17,$G$4:$I$9,2,FALSE)</f>
        <v>0.018</v>
      </c>
    </row>
    <row r="18" s="1" customFormat="1" spans="1:3">
      <c r="A18" s="3" t="s">
        <v>42</v>
      </c>
      <c r="B18" s="3" t="s">
        <v>43</v>
      </c>
      <c r="C18" s="7">
        <f>VLOOKUP(B18,$G$4:$I$9,2,FALSE)</f>
        <v>0.016</v>
      </c>
    </row>
  </sheetData>
  <mergeCells count="2">
    <mergeCell ref="A1:I2"/>
    <mergeCell ref="A12:C13"/>
  </mergeCells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PNN</dc:creator>
  <cp:lastModifiedBy>Phát Nguyễn Thành</cp:lastModifiedBy>
  <dcterms:created xsi:type="dcterms:W3CDTF">2026-10-27T02:49:38Z</dcterms:created>
  <dcterms:modified xsi:type="dcterms:W3CDTF">2026-10-27T02:53:08Z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878A4E4863FC47B489057C92EAFCFD41_11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